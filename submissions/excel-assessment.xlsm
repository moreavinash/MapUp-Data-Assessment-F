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hyam Ram\Desktop\"/>
    </mc:Choice>
  </mc:AlternateContent>
  <xr:revisionPtr revIDLastSave="0" documentId="8_{327D2558-0CF7-4E8D-BDEE-CB2BCCAC1A28}" xr6:coauthVersionLast="47" xr6:coauthVersionMax="47" xr10:uidLastSave="{00000000-0000-0000-0000-000000000000}"/>
  <bookViews>
    <workbookView xWindow="-120" yWindow="-120" windowWidth="29040" windowHeight="157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18" l="1"/>
  <c r="D30" i="18"/>
  <c r="E30" i="18"/>
  <c r="B30" i="18"/>
  <c r="D29" i="18"/>
  <c r="E29" i="18"/>
  <c r="C29" i="18"/>
  <c r="B29" i="18"/>
  <c r="C28" i="18"/>
  <c r="D28" i="18"/>
  <c r="E28" i="18"/>
  <c r="B28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2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6" i="18"/>
  <c r="C22" i="19"/>
  <c r="C5" i="15"/>
  <c r="H41" i="1"/>
</calcChain>
</file>

<file path=xl/sharedStrings.xml><?xml version="1.0" encoding="utf-8"?>
<sst xmlns="http://schemas.openxmlformats.org/spreadsheetml/2006/main" count="404" uniqueCount="180">
  <si>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</si>
  <si>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</si>
  <si>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</si>
  <si>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</si>
  <si>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</si>
  <si>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</si>
  <si>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</si>
  <si>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</si>
  <si>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</si>
  <si>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</si>
  <si>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</si>
  <si>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</si>
  <si>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</si>
  <si>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</si>
  <si>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</si>
  <si>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</si>
  <si>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</si>
  <si>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</si>
  <si>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</si>
  <si>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</si>
  <si>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</si>
  <si>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</si>
  <si>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</si>
  <si>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</si>
  <si>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</si>
  <si>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</si>
  <si>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</si>
  <si>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</si>
  <si>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</si>
  <si>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</si>
  <si>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</si>
  <si>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</si>
  <si>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</si>
  <si>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</si>
  <si>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</si>
  <si>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</si>
  <si>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</si>
  <si>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</si>
  <si>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</si>
  <si>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</si>
  <si>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</si>
  <si>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</si>
  <si>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</si>
  <si>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</si>
  <si>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</si>
  <si>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</si>
  <si>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</si>
  <si>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</si>
  <si>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</si>
  <si>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</si>
  <si>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</si>
  <si>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</si>
  <si>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</si>
  <si>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</si>
  <si>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</si>
  <si>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</si>
  <si>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</si>
  <si>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</si>
  <si>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</si>
  <si>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</si>
  <si>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</si>
  <si>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</si>
  <si>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</si>
  <si>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</si>
  <si>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</si>
  <si>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</si>
  <si>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</si>
  <si>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</si>
  <si>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</si>
  <si>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</si>
  <si>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</si>
  <si>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</si>
  <si>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</si>
  <si>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</si>
  <si>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</si>
  <si>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</si>
  <si>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</si>
  <si>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</si>
  <si>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</si>
  <si>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</si>
  <si>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</si>
  <si>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</si>
  <si>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</si>
  <si>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</si>
  <si>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</si>
  <si>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</si>
  <si>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</si>
  <si>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</si>
  <si>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</si>
  <si>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</si>
  <si>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</si>
  <si>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</si>
  <si>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</si>
  <si>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</si>
  <si>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</si>
  <si>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</si>
  <si>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</si>
  <si>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</si>
  <si>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</si>
  <si>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</si>
  <si>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</si>
  <si>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</si>
  <si>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</si>
  <si>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</si>
  <si>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</si>
  <si>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</si>
  <si>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</si>
  <si>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</si>
  <si>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</si>
  <si>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</si>
  <si>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</si>
  <si>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</si>
  <si>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</si>
  <si>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</si>
  <si>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</si>
  <si>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</si>
  <si>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</si>
  <si>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</si>
  <si>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</si>
  <si>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</si>
  <si>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</si>
  <si>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</si>
  <si>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</si>
  <si>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</si>
  <si>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</si>
  <si>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</si>
  <si>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</si>
  <si>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</si>
  <si>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</si>
  <si>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</si>
  <si>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</si>
  <si>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</si>
  <si>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</si>
  <si>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</si>
  <si>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</si>
  <si>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</si>
  <si>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</si>
  <si>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</si>
  <si>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</si>
  <si>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</si>
  <si>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</si>
  <si>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</si>
  <si>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</si>
  <si>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</si>
  <si>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</si>
  <si>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</si>
  <si>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</si>
  <si>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</si>
  <si>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</si>
  <si>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</si>
  <si>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</si>
  <si>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</si>
  <si>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</si>
  <si>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</si>
  <si>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</si>
  <si>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</si>
  <si>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</si>
  <si>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</si>
  <si>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</si>
  <si>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</si>
  <si>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</si>
  <si>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</si>
  <si>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</si>
  <si>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</si>
  <si>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</si>
  <si>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</si>
  <si>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</si>
  <si>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</si>
  <si>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</si>
  <si>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</si>
  <si>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</si>
  <si>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</si>
  <si>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</si>
  <si>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</si>
  <si>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</si>
  <si>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</si>
  <si>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</si>
  <si>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Here I used SUM() formulae to calculate overall sum of sales</t>
  </si>
  <si>
    <t xml:space="preserve">Here I have used the built in function 'splashfill' to separate the value given </t>
  </si>
  <si>
    <t xml:space="preserve">First I filled the cells with values #N/A with 20 and then implemented sum formula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</si>
</sst>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8" fontId="7" fillId="0" borderId="0" xfId="0" applyNumberFormat="1" applyFont="1"/>
    <xf numFmtId="168" fontId="3" fillId="0" borderId="0" xfId="0" applyNumberFormat="1" applyFont="1"/>
    <xf numFmtId="0" fontId="18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="85" zoomScaleNormal="85" workbookViewId="0">
      <selection activeCell="O45" sqref="O45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21" style="46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H41" s="1">
        <f>SUMIF(H2:H40,"&gt;20",H2:H40)</f>
        <v>1473.0000000000002</v>
      </c>
    </row>
  </sheetData>
  <conditionalFormatting sqref="A1:A1048576">
    <cfRule type="duplicateValues" dxfId="4" priority="7"/>
  </conditionalFormatting>
  <conditionalFormatting sqref="B1:B1048576">
    <cfRule type="duplicateValues" dxfId="3" priority="6"/>
  </conditionalFormatting>
  <conditionalFormatting sqref="G2:X40">
    <cfRule type="beginsWith" dxfId="1" priority="1" operator="beginsWith" text="0">
      <formula>LEFT(G2,LEN("0"))="0"</formula>
    </cfRule>
    <cfRule type="beginsWith" priority="2" operator="beginsWith" text="0">
      <formula>LEFT(G2,LEN("0"))="0"</formula>
    </cfRule>
    <cfRule type="containsText" priority="3" operator="containsText" text="0">
      <formula>NOT(ISERROR(SEARCH("0",G2)))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495E6375-C8B6-4869-B968-2B368F4A1383}">
            <xm:f>NOT(ISERROR(SEARCH(-1,G2)))</xm:f>
            <xm:f>-1</xm:f>
            <x14:dxf>
              <fill>
                <patternFill patternType="solid">
                  <bgColor rgb="FFFF0000"/>
                </patternFill>
              </fill>
            </x14:dxf>
          </x14:cfRule>
          <xm:sqref>G2</xm:sqref>
        </x14:conditionalFormatting>
        <x14:conditionalFormatting xmlns:xm="http://schemas.microsoft.com/office/excel/2006/main">
          <x14:cfRule type="containsText" priority="4" operator="containsText" id="{BBC11029-1323-435C-8D3C-418AEBB0B1B2}">
            <xm:f>NOT(ISERROR(SEARCH(-1,G2)))</xm:f>
            <xm:f>-1</xm:f>
            <x14:dxf>
              <fill>
                <patternFill>
                  <bgColor rgb="FFFF0000"/>
                </patternFill>
              </fill>
            </x14:dxf>
          </x14:cfRule>
          <xm:sqref>G2:X40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B1" zoomScaleNormal="100" workbookViewId="0">
      <selection activeCell="B7" sqref="B7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>
        <f>SUMIF(H2:H40,"&gt;20",H2:H40)</f>
        <v>0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M25" sqref="M25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IFERROR(VLOOKUP(A6, Dataset!$A$2:$U$40, 7, FALSE), "")</f>
        <v>2.7</v>
      </c>
      <c r="C6" s="11">
        <f>IFERROR(VLOOKUP($A$6, Dataset!$A$2:$U$40, 14, FALSE), "")</f>
        <v>7.6</v>
      </c>
      <c r="D6" s="11">
        <f>IFERROR(VLOOKUP(A6, Dataset!$A$2:$U$40, 18, FALSE), "")</f>
        <v>4.2</v>
      </c>
      <c r="E6" s="11">
        <f>IFERROR(VLOOKUP(A6, Dataset!$A$2:$U$40, 20, FALSE), "")</f>
        <v>8.9</v>
      </c>
      <c r="F6" s="11" t="str">
        <f>IFERROR(VLOOKUP(K6A6, Dataset!$A$2:$U$40, 22, FALSE), "")</f>
        <v/>
      </c>
    </row>
    <row r="7" spans="1:7" ht="15" x14ac:dyDescent="0.25">
      <c r="A7" s="7" t="s">
        <v>4</v>
      </c>
      <c r="B7" s="11">
        <f>IFERROR(VLOOKUP(A7, Dataset!$A$2:$U$40, 7, FALSE), "")</f>
        <v>2.7</v>
      </c>
      <c r="C7" s="11">
        <f>IFERROR(VLOOKUP(A7, Dataset!$A$2:$U$40, 14, FALSE), "")</f>
        <v>7.6</v>
      </c>
      <c r="D7" s="11">
        <f>IFERROR(VLOOKUP(A7, Dataset!$A$2:$U$40, 18, FALSE), "")</f>
        <v>4.2</v>
      </c>
      <c r="E7" s="11">
        <f>IFERROR(VLOOKUP($A7, Dataset!$A$2:$U$40, 20, FALSE), "")</f>
        <v>8.9</v>
      </c>
      <c r="F7" s="8"/>
    </row>
    <row r="8" spans="1:7" ht="15" x14ac:dyDescent="0.25">
      <c r="A8" s="7" t="s">
        <v>7</v>
      </c>
      <c r="B8" s="11">
        <f>IFERROR(VLOOKUP(A8, Dataset!$A$2:$U$40, 7, FALSE), "")</f>
        <v>3.6</v>
      </c>
      <c r="C8" s="11">
        <f>IFERROR(VLOOKUP(A8, Dataset!$A$2:$U$40, 14, FALSE), "")</f>
        <v>11.1</v>
      </c>
      <c r="D8" s="11">
        <f>IFERROR(VLOOKUP(A8, Dataset!$A$2:$U$40, 18, FALSE), "")</f>
        <v>5.8</v>
      </c>
      <c r="E8" s="11">
        <f>IFERROR(VLOOKUP($A8, Dataset!$A$2:$U$40, 20, FALSE), "")</f>
        <v>12.2</v>
      </c>
      <c r="F8" s="8"/>
    </row>
    <row r="9" spans="1:7" ht="15" x14ac:dyDescent="0.25">
      <c r="A9" s="7" t="s">
        <v>8</v>
      </c>
      <c r="B9" s="11">
        <f>IFERROR(VLOOKUP(A9, Dataset!$A$2:$U$40, 7, FALSE), "")</f>
        <v>4.9000000000000004</v>
      </c>
      <c r="C9" s="11">
        <f>IFERROR(VLOOKUP(A9, Dataset!$A$2:$U$40, 14, FALSE), "")</f>
        <v>13.3</v>
      </c>
      <c r="D9" s="11">
        <f>IFERROR(VLOOKUP(A9, Dataset!$A$2:$U$40, 18, FALSE), "")</f>
        <v>8.1</v>
      </c>
      <c r="E9" s="11">
        <f>IFERROR(VLOOKUP($A9, Dataset!$A$2:$U$40, 20, FALSE), "")</f>
        <v>17</v>
      </c>
      <c r="F9" s="8"/>
    </row>
    <row r="10" spans="1:7" ht="15" x14ac:dyDescent="0.25">
      <c r="A10" s="7" t="s">
        <v>11</v>
      </c>
      <c r="B10" s="11">
        <f>IFERROR(VLOOKUP(A10, Dataset!$A$2:$U$40, 7, FALSE), "")</f>
        <v>9.4</v>
      </c>
      <c r="C10" s="11">
        <f>IFERROR(VLOOKUP(A10, Dataset!$A$2:$U$40, 14, FALSE), "")</f>
        <v>28.3</v>
      </c>
      <c r="D10" s="11">
        <f>IFERROR(VLOOKUP(A10, Dataset!$A$2:$U$40, 18, FALSE), "")</f>
        <v>16.100000000000001</v>
      </c>
      <c r="E10" s="11">
        <f>IFERROR(VLOOKUP($A10, Dataset!$A$2:$U$40, 20, FALSE), "")</f>
        <v>32.799999999999997</v>
      </c>
      <c r="F10" s="8"/>
    </row>
    <row r="11" spans="1:7" ht="15" x14ac:dyDescent="0.25">
      <c r="A11" s="7" t="s">
        <v>12</v>
      </c>
      <c r="B11" s="11">
        <f>IFERROR(VLOOKUP(A11, Dataset!$A$2:$U$40, 7, FALSE), "")</f>
        <v>11.6</v>
      </c>
      <c r="C11" s="11">
        <f>IFERROR(VLOOKUP(A11, Dataset!$A$2:$U$40, 14, FALSE), "")</f>
        <v>35.200000000000003</v>
      </c>
      <c r="D11" s="11">
        <f>IFERROR(VLOOKUP(A11, Dataset!$A$2:$U$40, 18, FALSE), "")</f>
        <v>21.3</v>
      </c>
      <c r="E11" s="11">
        <f>IFERROR(VLOOKUP($A11, Dataset!$A$2:$U$40, 20, FALSE), "")</f>
        <v>43</v>
      </c>
      <c r="F11" s="8"/>
    </row>
    <row r="12" spans="1:7" ht="15" x14ac:dyDescent="0.25">
      <c r="A12" s="7" t="s">
        <v>14</v>
      </c>
      <c r="B12" s="11">
        <f>IFERROR(VLOOKUP(A12, Dataset!$A$2:$U$40, 7, FALSE), "")</f>
        <v>18.399999999999999</v>
      </c>
      <c r="C12" s="11">
        <f>IFERROR(VLOOKUP(A12, Dataset!$A$2:$U$40, 14, FALSE), "")</f>
        <v>55.6</v>
      </c>
      <c r="D12" s="11">
        <f>IFERROR(VLOOKUP(A12, Dataset!$A$2:$U$40, 18, FALSE), "")</f>
        <v>33.799999999999997</v>
      </c>
      <c r="E12" s="11">
        <f>IFERROR(VLOOKUP($A12, Dataset!$A$2:$U$40, 20, FALSE), "")</f>
        <v>67.900000000000006</v>
      </c>
      <c r="F12" s="8"/>
    </row>
    <row r="13" spans="1:7" ht="15" x14ac:dyDescent="0.25">
      <c r="A13" s="7" t="s">
        <v>15</v>
      </c>
      <c r="B13" s="11">
        <f>IFERROR(VLOOKUP(A13, Dataset!$A$2:$U$40, 7, FALSE), "")</f>
        <v>0</v>
      </c>
      <c r="C13" s="11">
        <f>IFERROR(VLOOKUP(A13, Dataset!$A$2:$U$40, 14, FALSE), "")</f>
        <v>0</v>
      </c>
      <c r="D13" s="11">
        <f>IFERROR(VLOOKUP(A13, Dataset!$A$2:$U$40, 18, FALSE), "")</f>
        <v>0</v>
      </c>
      <c r="E13" s="11">
        <f>IFERROR(VLOOKUP($A13, Dataset!$A$2:$U$40, 20, FALSE), "")</f>
        <v>0</v>
      </c>
      <c r="F13" s="8"/>
    </row>
    <row r="14" spans="1:7" ht="15" x14ac:dyDescent="0.25">
      <c r="A14" s="7" t="s">
        <v>16</v>
      </c>
      <c r="B14" s="11">
        <f>IFERROR(VLOOKUP(A14, Dataset!$A$2:$U$40, 7, FALSE), "")</f>
        <v>21.9</v>
      </c>
      <c r="C14" s="11">
        <f>IFERROR(VLOOKUP(A14, Dataset!$A$2:$U$40, 14, FALSE), "")</f>
        <v>61.5</v>
      </c>
      <c r="D14" s="11">
        <f>IFERROR(VLOOKUP(A14, Dataset!$A$2:$U$40, 18, FALSE), "")</f>
        <v>40.1</v>
      </c>
      <c r="E14" s="11">
        <f>IFERROR(VLOOKUP($A14, Dataset!$A$2:$U$40, 20, FALSE), "")</f>
        <v>76.599999999999994</v>
      </c>
      <c r="F14" s="8"/>
    </row>
    <row r="15" spans="1:7" ht="15" x14ac:dyDescent="0.25">
      <c r="A15" s="7" t="s">
        <v>18</v>
      </c>
      <c r="B15" s="11">
        <f>IFERROR(VLOOKUP(A15, Dataset!$A$2:$U$40, 7, FALSE), "")</f>
        <v>26.8</v>
      </c>
      <c r="C15" s="11">
        <f>IFERROR(VLOOKUP(A15, Dataset!$A$2:$U$40, 14, FALSE), "")</f>
        <v>79.599999999999994</v>
      </c>
      <c r="D15" s="11">
        <f>IFERROR(VLOOKUP(A15, Dataset!$A$2:$U$40, 18, FALSE), "")</f>
        <v>47.9</v>
      </c>
      <c r="E15" s="11">
        <f>IFERROR(VLOOKUP($A15, Dataset!$A$2:$U$40, 20, FALSE), "")</f>
        <v>96.8</v>
      </c>
      <c r="F15" s="8"/>
    </row>
    <row r="16" spans="1:7" ht="15" x14ac:dyDescent="0.25">
      <c r="A16" s="7" t="s">
        <v>20</v>
      </c>
      <c r="B16" s="11">
        <f>IFERROR(VLOOKUP(A16, Dataset!$A$2:$U$40, 7, FALSE), "")</f>
        <v>28.5</v>
      </c>
      <c r="C16" s="11">
        <f>IFERROR(VLOOKUP(A16, Dataset!$A$2:$U$40, 14, FALSE), "")</f>
        <v>85.4</v>
      </c>
      <c r="D16" s="11">
        <f>IFERROR(VLOOKUP(A16, Dataset!$A$2:$U$40, 18, FALSE), "")</f>
        <v>52.3</v>
      </c>
      <c r="E16" s="11">
        <f>IFERROR(VLOOKUP($A16, Dataset!$A$2:$U$40, 20, FALSE), "")</f>
        <v>106.1</v>
      </c>
      <c r="F16" s="8"/>
    </row>
    <row r="17" spans="1:6" ht="15" x14ac:dyDescent="0.25">
      <c r="A17" s="7" t="s">
        <v>22</v>
      </c>
      <c r="B17" s="11">
        <f>IFERROR(VLOOKUP(A17, Dataset!$A$2:$U$40, 7, FALSE), "")</f>
        <v>30.7</v>
      </c>
      <c r="C17" s="11">
        <f>IFERROR(VLOOKUP(A17, Dataset!$A$2:$U$40, 14, FALSE), "")</f>
        <v>92.1</v>
      </c>
      <c r="D17" s="11">
        <f>IFERROR(VLOOKUP(A17, Dataset!$A$2:$U$40, 18, FALSE), "")</f>
        <v>57</v>
      </c>
      <c r="E17" s="11">
        <f>IFERROR(VLOOKUP($A17, Dataset!$A$2:$U$40, 20, FALSE), "")</f>
        <v>115.1</v>
      </c>
      <c r="F17" s="8"/>
    </row>
    <row r="18" spans="1:6" ht="15" x14ac:dyDescent="0.25">
      <c r="A18" s="7" t="s">
        <v>23</v>
      </c>
      <c r="B18" s="11">
        <f>IFERROR(VLOOKUP(A18, Dataset!$A$2:$U$40, 7, FALSE), "")</f>
        <v>33.799999999999997</v>
      </c>
      <c r="C18" s="11">
        <f>IFERROR(VLOOKUP(A18, Dataset!$A$2:$U$40, 14, FALSE), "")</f>
        <v>101.3</v>
      </c>
      <c r="D18" s="11">
        <f>IFERROR(VLOOKUP(A18, Dataset!$A$2:$U$40, 18, FALSE), "")</f>
        <v>61.4</v>
      </c>
      <c r="E18" s="11">
        <f>IFERROR(VLOOKUP($A18, Dataset!$A$2:$U$40, 20, FALSE), "")</f>
        <v>124.4</v>
      </c>
      <c r="F18" s="8"/>
    </row>
    <row r="19" spans="1:6" ht="15" x14ac:dyDescent="0.25">
      <c r="A19" s="7" t="s">
        <v>24</v>
      </c>
      <c r="B19" s="11">
        <f>IFERROR(VLOOKUP(A19, Dataset!$A$2:$U$40, 7, FALSE), "")</f>
        <v>34.700000000000003</v>
      </c>
      <c r="C19" s="11">
        <f>IFERROR(VLOOKUP(A19, Dataset!$A$2:$U$40, 14, FALSE), "")</f>
        <v>106.1</v>
      </c>
      <c r="D19" s="11">
        <f>IFERROR(VLOOKUP(A19, Dataset!$A$2:$U$40, 18, FALSE), "")</f>
        <v>63.6</v>
      </c>
      <c r="E19" s="11">
        <f>IFERROR(VLOOKUP($A19, Dataset!$A$2:$U$40, 20, FALSE), "")</f>
        <v>128.6</v>
      </c>
      <c r="F19" s="8"/>
    </row>
    <row r="20" spans="1:6" ht="15" x14ac:dyDescent="0.25">
      <c r="A20" s="7" t="s">
        <v>28</v>
      </c>
      <c r="B20" s="11">
        <f>IFERROR(VLOOKUP(A20, Dataset!$A$2:$U$40, 7, FALSE), "")</f>
        <v>0</v>
      </c>
      <c r="C20" s="11">
        <f>IFERROR(VLOOKUP(A20, Dataset!$A$2:$U$40, 14, FALSE), "")</f>
        <v>0</v>
      </c>
      <c r="D20" s="11">
        <f>IFERROR(VLOOKUP(A20, Dataset!$A$2:$U$40, 18, FALSE), "")</f>
        <v>0</v>
      </c>
      <c r="E20" s="11">
        <f>IFERROR(VLOOKUP($A20, Dataset!$A$2:$U$40, 20, FALSE), "")</f>
        <v>0</v>
      </c>
      <c r="F20" s="8"/>
    </row>
    <row r="21" spans="1:6" ht="15" x14ac:dyDescent="0.25">
      <c r="A21" s="7" t="s">
        <v>57</v>
      </c>
      <c r="B21" s="11">
        <f>IFERROR(VLOOKUP(A21, Dataset!$A$2:$U$40, 7, FALSE), "")</f>
        <v>41.3</v>
      </c>
      <c r="C21" s="11">
        <f>IFERROR(VLOOKUP(A21, Dataset!$A$2:$U$40, 14, FALSE), "")</f>
        <v>124.4</v>
      </c>
      <c r="D21" s="11">
        <f>IFERROR(VLOOKUP(A21, Dataset!$A$2:$U$40, 18, FALSE), "")</f>
        <v>75</v>
      </c>
      <c r="E21" s="11">
        <f>IFERROR(VLOOKUP($A21, Dataset!$A$2:$U$40, 20, FALSE), "")</f>
        <v>151.5</v>
      </c>
      <c r="F21" s="8"/>
    </row>
    <row r="22" spans="1:6" ht="15" x14ac:dyDescent="0.25">
      <c r="A22" s="7" t="s">
        <v>58</v>
      </c>
      <c r="B22" s="11">
        <f>IFERROR(VLOOKUP(A22, Dataset!$A$2:$U$40, 7, FALSE), "")</f>
        <v>-1</v>
      </c>
      <c r="C22" s="11">
        <f>IFERROR(VLOOKUP(A22, Dataset!$A$2:$U$40, 14, FALSE), "")</f>
        <v>-1</v>
      </c>
      <c r="D22" s="11">
        <f>IFERROR(VLOOKUP(A22, Dataset!$A$2:$U$40, 18, FALSE), "")</f>
        <v>-1</v>
      </c>
      <c r="E22" s="11">
        <f>IFERROR(VLOOKUP($A22, Dataset!$A$2:$U$40, 20, FALSE), "")</f>
        <v>-1</v>
      </c>
      <c r="F22" s="8"/>
    </row>
    <row r="23" spans="1:6" ht="15" x14ac:dyDescent="0.25">
      <c r="A23" s="7" t="s">
        <v>31</v>
      </c>
      <c r="B23" s="11">
        <f>IFERROR(VLOOKUP(A23, Dataset!$A$2:$U$40, 7, FALSE), "")</f>
        <v>45</v>
      </c>
      <c r="C23" s="11">
        <f>IFERROR(VLOOKUP(A23, Dataset!$A$2:$U$40, 14, FALSE), "")</f>
        <v>133.4</v>
      </c>
      <c r="D23" s="11">
        <f>IFERROR(VLOOKUP(A23, Dataset!$A$2:$U$40, 18, FALSE), "")</f>
        <v>79.400000000000006</v>
      </c>
      <c r="E23" s="11">
        <f>IFERROR(VLOOKUP($A23, Dataset!$A$2:$U$40, 20, FALSE), "")</f>
        <v>160.9</v>
      </c>
      <c r="F23" s="8"/>
    </row>
    <row r="24" spans="1:6" ht="15" x14ac:dyDescent="0.25">
      <c r="A24" s="7" t="s">
        <v>32</v>
      </c>
      <c r="B24" s="11">
        <f>IFERROR(VLOOKUP(A24, Dataset!$A$2:$U$40, 7, FALSE), "")</f>
        <v>-1</v>
      </c>
      <c r="C24" s="11">
        <f>IFERROR(VLOOKUP(A24, Dataset!$A$2:$U$40, 14, FALSE), "")</f>
        <v>-1</v>
      </c>
      <c r="D24" s="11">
        <f>IFERROR(VLOOKUP(A24, Dataset!$A$2:$U$40, 18, FALSE), "")</f>
        <v>-1</v>
      </c>
      <c r="E24" s="11">
        <f>IFERROR(VLOOKUP($A24, Dataset!$A$2:$U$40, 20, FALSE), "")</f>
        <v>-1</v>
      </c>
      <c r="F24" s="8"/>
    </row>
    <row r="25" spans="1:6" ht="15" x14ac:dyDescent="0.25">
      <c r="A25" s="7" t="s">
        <v>34</v>
      </c>
      <c r="B25" s="11">
        <f>IFERROR(VLOOKUP(A25, Dataset!$A$2:$U$40, 7, FALSE), "")</f>
        <v>43.3</v>
      </c>
      <c r="C25" s="11">
        <f>IFERROR(VLOOKUP(A25, Dataset!$A$2:$U$40, 14, FALSE), "")</f>
        <v>128.6</v>
      </c>
      <c r="D25" s="11">
        <f>IFERROR(VLOOKUP(A25, Dataset!$A$2:$U$40, 18, FALSE), "")</f>
        <v>79.400000000000006</v>
      </c>
      <c r="E25" s="11">
        <f>IFERROR(VLOOKUP($A25, Dataset!$A$2:$U$40, 20, FALSE), "")</f>
        <v>160.9</v>
      </c>
      <c r="F25" s="8"/>
    </row>
    <row r="26" spans="1:6" ht="15" x14ac:dyDescent="0.25">
      <c r="A26" s="7" t="s">
        <v>37</v>
      </c>
      <c r="B26" s="11">
        <f>IFERROR(VLOOKUP(A26, Dataset!$A$2:$U$40, 7, FALSE), "")</f>
        <v>49.1</v>
      </c>
      <c r="C26" s="11">
        <f>IFERROR(VLOOKUP(A26, Dataset!$A$2:$U$40, 14, FALSE), "")</f>
        <v>146.80000000000001</v>
      </c>
      <c r="D26" s="11">
        <f>IFERROR(VLOOKUP(A26, Dataset!$A$2:$U$40, 18, FALSE), "")</f>
        <v>90.9</v>
      </c>
      <c r="E26" s="11">
        <f>IFERROR(VLOOKUP($A26, Dataset!$A$2:$U$40, 20, FALSE), "")</f>
        <v>183.5</v>
      </c>
      <c r="F26" s="8"/>
    </row>
    <row r="27" spans="1:6" ht="15" x14ac:dyDescent="0.25">
      <c r="A27" s="7" t="s">
        <v>39</v>
      </c>
      <c r="B27" s="11">
        <f>IFERROR(VLOOKUP(A27, Dataset!$A$2:$U$40, 7, FALSE), "")</f>
        <v>51.8</v>
      </c>
      <c r="C27" s="11">
        <f>IFERROR(VLOOKUP(A27, Dataset!$A$2:$U$40, 14, FALSE), "")</f>
        <v>156.4</v>
      </c>
      <c r="D27" s="11">
        <f>IFERROR(VLOOKUP(A27, Dataset!$A$2:$U$40, 18, FALSE), "")</f>
        <v>93.1</v>
      </c>
      <c r="E27" s="11">
        <f>IFERROR(VLOOKUP($A27, Dataset!$A$2:$U$40, 20, FALSE), "")</f>
        <v>188.1</v>
      </c>
      <c r="F27" s="8"/>
    </row>
    <row r="28" spans="1:6" ht="15" x14ac:dyDescent="0.25">
      <c r="A28" s="18" t="s">
        <v>82</v>
      </c>
      <c r="B28" s="30">
        <f>MIN($B$6:$B$27)</f>
        <v>-1</v>
      </c>
      <c r="C28" s="30">
        <f t="shared" ref="C28:E28" si="0">MIN($B$6:$B$27)</f>
        <v>-1</v>
      </c>
      <c r="D28" s="30">
        <f t="shared" si="0"/>
        <v>-1</v>
      </c>
      <c r="E28" s="30">
        <f t="shared" si="0"/>
        <v>-1</v>
      </c>
      <c r="F28" s="30"/>
    </row>
    <row r="29" spans="1:6" ht="15" x14ac:dyDescent="0.25">
      <c r="A29" s="18" t="s">
        <v>83</v>
      </c>
      <c r="B29" s="30">
        <f>MAX(B$6:B$28)</f>
        <v>51.8</v>
      </c>
      <c r="C29" s="30">
        <f>MAX(C$6:C$28)</f>
        <v>156.4</v>
      </c>
      <c r="D29" s="30">
        <f>MAX(D$6:D$28)</f>
        <v>93.1</v>
      </c>
      <c r="E29" s="30">
        <f>MAX(E$6:E$28)</f>
        <v>188.1</v>
      </c>
      <c r="F29" s="30"/>
    </row>
    <row r="30" spans="1:6" ht="15" x14ac:dyDescent="0.25">
      <c r="A30" s="18" t="s">
        <v>84</v>
      </c>
      <c r="B30" s="30">
        <f>AVERAGE(B$6:B$27)</f>
        <v>20.827272727272728</v>
      </c>
      <c r="C30" s="30">
        <f t="shared" ref="C30:E30" si="1">AVERAGE(C$6:C$27)</f>
        <v>62.377272727272725</v>
      </c>
      <c r="D30" s="30">
        <f t="shared" si="1"/>
        <v>37.800000000000004</v>
      </c>
      <c r="E30" s="30">
        <f t="shared" si="1"/>
        <v>76.418181818181822</v>
      </c>
      <c r="F30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0" zoomScaleNormal="100" workbookViewId="0">
      <selection activeCell="C8" sqref="C8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 t="s">
        <v>178</v>
      </c>
    </row>
    <row r="6" spans="1:10" ht="18.75" x14ac:dyDescent="0.3">
      <c r="A6" s="42" t="s">
        <v>153</v>
      </c>
      <c r="B6" s="39" t="s">
        <v>178</v>
      </c>
    </row>
    <row r="7" spans="1:10" ht="18.75" x14ac:dyDescent="0.3">
      <c r="A7" s="42"/>
      <c r="B7" s="39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>
        <v>20000</v>
      </c>
      <c r="C16" s="1" t="s">
        <v>5</v>
      </c>
      <c r="D16" s="47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47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47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47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47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47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47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47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47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47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47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47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47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47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47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47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47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5</v>
      </c>
      <c r="D33" s="47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47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47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47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47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47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47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47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47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47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5</v>
      </c>
      <c r="D43" s="47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47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5</v>
      </c>
      <c r="D45" s="47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5</v>
      </c>
      <c r="D46" s="47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5</v>
      </c>
      <c r="D47" s="47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5</v>
      </c>
      <c r="D48" s="47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5</v>
      </c>
      <c r="D49" s="47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5</v>
      </c>
      <c r="D50" s="47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47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5</v>
      </c>
      <c r="D52" s="47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5</v>
      </c>
      <c r="D53" s="47">
        <v>0</v>
      </c>
      <c r="E53" s="1" t="s">
        <v>6</v>
      </c>
      <c r="F53" s="11">
        <v>24</v>
      </c>
    </row>
    <row r="54" spans="1:6" x14ac:dyDescent="0.25">
      <c r="A54" s="9" t="s">
        <v>120</v>
      </c>
      <c r="B54" s="12">
        <v>21016</v>
      </c>
      <c r="C54" s="1" t="s">
        <v>5</v>
      </c>
      <c r="D54" s="47">
        <v>0</v>
      </c>
      <c r="E54" s="1" t="s">
        <v>6</v>
      </c>
      <c r="F54" s="12">
        <v>24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22" sqref="F2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177</v>
      </c>
    </row>
    <row r="7" spans="1:3" ht="15" x14ac:dyDescent="0.25">
      <c r="A7" s="3" t="s">
        <v>153</v>
      </c>
      <c r="B7" s="1" t="s">
        <v>179</v>
      </c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>
        <v>20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>
        <v>20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>
        <v>20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>
        <v>20</v>
      </c>
    </row>
    <row r="22" spans="1:3" ht="15" x14ac:dyDescent="0.2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/>
    </row>
    <row r="24" spans="1:14" ht="15" x14ac:dyDescent="0.25">
      <c r="A24" s="7">
        <v>10100</v>
      </c>
      <c r="B24" s="11">
        <v>10104</v>
      </c>
      <c r="C24" s="43"/>
    </row>
    <row r="25" spans="1:14" ht="15" x14ac:dyDescent="0.25">
      <c r="A25" s="7">
        <v>10108</v>
      </c>
      <c r="B25" s="11">
        <v>10102</v>
      </c>
      <c r="C25" s="43"/>
    </row>
    <row r="26" spans="1:14" ht="15" x14ac:dyDescent="0.25">
      <c r="A26" s="7">
        <v>10100</v>
      </c>
      <c r="B26" s="11">
        <v>10106</v>
      </c>
      <c r="C26" s="43"/>
    </row>
    <row r="27" spans="1:14" ht="15" x14ac:dyDescent="0.25">
      <c r="A27" s="7">
        <v>10108</v>
      </c>
      <c r="B27" s="11">
        <v>10110</v>
      </c>
      <c r="C27" s="43"/>
    </row>
    <row r="28" spans="1:14" ht="15" x14ac:dyDescent="0.25">
      <c r="A28" s="7">
        <v>10102</v>
      </c>
      <c r="B28" s="11">
        <v>10104</v>
      </c>
      <c r="C28" s="43"/>
    </row>
    <row r="29" spans="1:14" ht="15" x14ac:dyDescent="0.25">
      <c r="A29" s="7">
        <v>10106</v>
      </c>
      <c r="B29" s="11">
        <v>10108</v>
      </c>
      <c r="C29" s="43"/>
    </row>
    <row r="30" spans="1:14" ht="15" x14ac:dyDescent="0.25">
      <c r="A30" s="7">
        <v>10102</v>
      </c>
      <c r="B30" s="11">
        <v>10106</v>
      </c>
      <c r="C30" s="43"/>
    </row>
    <row r="31" spans="1:14" ht="15" x14ac:dyDescent="0.25">
      <c r="A31" s="7">
        <v>10110</v>
      </c>
      <c r="B31" s="11">
        <v>10114</v>
      </c>
      <c r="C31" s="43"/>
    </row>
    <row r="32" spans="1:14" ht="15" x14ac:dyDescent="0.25">
      <c r="A32" s="7">
        <v>10104</v>
      </c>
      <c r="B32" s="11">
        <v>10106</v>
      </c>
      <c r="C32" s="43"/>
    </row>
    <row r="33" spans="1:3" ht="15" x14ac:dyDescent="0.25">
      <c r="A33" s="7">
        <v>10110</v>
      </c>
      <c r="B33" s="11">
        <v>10112</v>
      </c>
      <c r="C33" s="43"/>
    </row>
    <row r="34" spans="1:3" ht="15" x14ac:dyDescent="0.25">
      <c r="A34" s="7">
        <v>10100</v>
      </c>
      <c r="B34" s="11">
        <v>10114</v>
      </c>
      <c r="C34" s="43"/>
    </row>
    <row r="35" spans="1:3" ht="15" x14ac:dyDescent="0.25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Shyam Ram</cp:lastModifiedBy>
  <dcterms:created xsi:type="dcterms:W3CDTF">2015-02-10T17:33:11Z</dcterms:created>
  <dcterms:modified xsi:type="dcterms:W3CDTF">2023-12-10T17:11:24Z</dcterms:modified>
</cp:coreProperties>
</file>